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ustomer" sheetId="2" r:id="rId6"/>
    <sheet state="visible" name="staff" sheetId="3" r:id="rId7"/>
    <sheet state="visible" name="branches" sheetId="4" r:id="rId8"/>
    <sheet state="visible" name="departments" sheetId="5" r:id="rId9"/>
    <sheet state="visible" name="vendors" sheetId="6" r:id="rId10"/>
    <sheet state="visible" name="categories " sheetId="7" r:id="rId11"/>
    <sheet state="visible" name="products" sheetId="8" r:id="rId12"/>
    <sheet state="visible" name="shipping" sheetId="9" r:id="rId13"/>
    <sheet state="visible" name="orders" sheetId="10" r:id="rId14"/>
    <sheet state="visible" name="order-details" sheetId="11" r:id="rId15"/>
    <sheet state="visible" name="pickup_station" sheetId="12" r:id="rId16"/>
    <sheet state="visible" name="deliveries" sheetId="13" r:id="rId17"/>
    <sheet state="visible" name="payments" sheetId="14" r:id="rId18"/>
    <sheet state="visible" name="inventory" sheetId="15" r:id="rId19"/>
  </sheets>
  <definedNames/>
  <calcPr/>
</workbook>
</file>

<file path=xl/sharedStrings.xml><?xml version="1.0" encoding="utf-8"?>
<sst xmlns="http://schemas.openxmlformats.org/spreadsheetml/2006/main" count="424" uniqueCount="201">
  <si>
    <t>user_id</t>
  </si>
  <si>
    <t>user_name</t>
  </si>
  <si>
    <t>users_email</t>
  </si>
  <si>
    <t>users_address</t>
  </si>
  <si>
    <t>users_phone_number</t>
  </si>
  <si>
    <t>users_orders_items</t>
  </si>
  <si>
    <t>order_details</t>
  </si>
  <si>
    <t>ja1234</t>
  </si>
  <si>
    <t>Marian</t>
  </si>
  <si>
    <t>marian@gmail.com</t>
  </si>
  <si>
    <t>Nairobi-daggoreti south</t>
  </si>
  <si>
    <t>55inch samsung Tv</t>
  </si>
  <si>
    <t>sku 09876</t>
  </si>
  <si>
    <t>ja1235</t>
  </si>
  <si>
    <t>David</t>
  </si>
  <si>
    <t>david@gmail.com</t>
  </si>
  <si>
    <t>Nairobi-ngong road</t>
  </si>
  <si>
    <t>plain white t shirt</t>
  </si>
  <si>
    <t>sku 09877</t>
  </si>
  <si>
    <t>ja1236</t>
  </si>
  <si>
    <t>Stephen</t>
  </si>
  <si>
    <t>stephen@gmail.com</t>
  </si>
  <si>
    <t>Kakamega-butere</t>
  </si>
  <si>
    <t>kojic soap</t>
  </si>
  <si>
    <t>sku 09878</t>
  </si>
  <si>
    <t>ja1237</t>
  </si>
  <si>
    <t>Emmnanuel</t>
  </si>
  <si>
    <t>emmanuel@gmail.com</t>
  </si>
  <si>
    <t>Laikipia-nanyuki-sweat waters</t>
  </si>
  <si>
    <t>smart watch</t>
  </si>
  <si>
    <t>sku 09879</t>
  </si>
  <si>
    <t>ja1238</t>
  </si>
  <si>
    <t xml:space="preserve">Dickson </t>
  </si>
  <si>
    <t>dickson@gmail.com</t>
  </si>
  <si>
    <t>Nairobi-westlands</t>
  </si>
  <si>
    <t>titangel</t>
  </si>
  <si>
    <t>sku 09880</t>
  </si>
  <si>
    <t>ja1239</t>
  </si>
  <si>
    <t>Sarah</t>
  </si>
  <si>
    <t>sarah@gmail.com</t>
  </si>
  <si>
    <t>Nakuru-nakuru town</t>
  </si>
  <si>
    <t>epson washing machine</t>
  </si>
  <si>
    <t>sku 09881</t>
  </si>
  <si>
    <t>ja1240</t>
  </si>
  <si>
    <t>Sabaya</t>
  </si>
  <si>
    <t>sabaya@gmail.com</t>
  </si>
  <si>
    <t>Kisumu-kisumu-town</t>
  </si>
  <si>
    <t>white samsung cover</t>
  </si>
  <si>
    <t>sku covers</t>
  </si>
  <si>
    <t>customers_id</t>
  </si>
  <si>
    <t>customer_name</t>
  </si>
  <si>
    <t>customers_address</t>
  </si>
  <si>
    <t>customers_phone_number</t>
  </si>
  <si>
    <t>customers_orders_items</t>
  </si>
  <si>
    <t>name</t>
  </si>
  <si>
    <t>staff-id</t>
  </si>
  <si>
    <t>department</t>
  </si>
  <si>
    <t>station</t>
  </si>
  <si>
    <t>email</t>
  </si>
  <si>
    <t>phone-no</t>
  </si>
  <si>
    <t>Mike</t>
  </si>
  <si>
    <t>jumie-0102</t>
  </si>
  <si>
    <t>1st mile</t>
  </si>
  <si>
    <t>Kantaria vdo</t>
  </si>
  <si>
    <t>mike@gmail.com</t>
  </si>
  <si>
    <t>James</t>
  </si>
  <si>
    <t>jumie-0103</t>
  </si>
  <si>
    <t>last mile</t>
  </si>
  <si>
    <t>warehouse cabans</t>
  </si>
  <si>
    <t>james@gmail.com</t>
  </si>
  <si>
    <t>Darwin</t>
  </si>
  <si>
    <t>jumie-0104</t>
  </si>
  <si>
    <t>3pl</t>
  </si>
  <si>
    <t>lucytech 3pl</t>
  </si>
  <si>
    <t>darwin@gmail.com</t>
  </si>
  <si>
    <t>Kevin</t>
  </si>
  <si>
    <t>jumie-0105</t>
  </si>
  <si>
    <t>kevin@gmail.com</t>
  </si>
  <si>
    <t>branch-id</t>
  </si>
  <si>
    <t>branch-name</t>
  </si>
  <si>
    <t>location</t>
  </si>
  <si>
    <t>department-id</t>
  </si>
  <si>
    <t>jk100</t>
  </si>
  <si>
    <t>the hub</t>
  </si>
  <si>
    <t>karen</t>
  </si>
  <si>
    <t>k100</t>
  </si>
  <si>
    <t>ja102</t>
  </si>
  <si>
    <t>addams</t>
  </si>
  <si>
    <t>pick up station</t>
  </si>
  <si>
    <t>a102</t>
  </si>
  <si>
    <t>jkv1002</t>
  </si>
  <si>
    <t>kantaria cbd</t>
  </si>
  <si>
    <t>kantaria vdo</t>
  </si>
  <si>
    <t>kv1002</t>
  </si>
  <si>
    <t>j3pl</t>
  </si>
  <si>
    <t>lucytech</t>
  </si>
  <si>
    <t>latema</t>
  </si>
  <si>
    <t>staffs-names</t>
  </si>
  <si>
    <t>wh001</t>
  </si>
  <si>
    <t>vendors_id</t>
  </si>
  <si>
    <t>vendors_name</t>
  </si>
  <si>
    <t>vendors_shop_name</t>
  </si>
  <si>
    <t>account</t>
  </si>
  <si>
    <t xml:space="preserve">country </t>
  </si>
  <si>
    <t>james</t>
  </si>
  <si>
    <t>ace and queen</t>
  </si>
  <si>
    <t>mpesa</t>
  </si>
  <si>
    <t>kenya</t>
  </si>
  <si>
    <t xml:space="preserve">ian </t>
  </si>
  <si>
    <t>the donn</t>
  </si>
  <si>
    <t>darwin</t>
  </si>
  <si>
    <t>hers and mine</t>
  </si>
  <si>
    <t>bank</t>
  </si>
  <si>
    <t>adrian</t>
  </si>
  <si>
    <t>unicorn duos</t>
  </si>
  <si>
    <t>mary</t>
  </si>
  <si>
    <t>the hub store</t>
  </si>
  <si>
    <t>Uganda</t>
  </si>
  <si>
    <t>brian</t>
  </si>
  <si>
    <t>our kin co</t>
  </si>
  <si>
    <t>categories_id</t>
  </si>
  <si>
    <t>phone&amp;tablets</t>
  </si>
  <si>
    <t>official_store</t>
  </si>
  <si>
    <t>Tv&amp;audio</t>
  </si>
  <si>
    <t xml:space="preserve">appliances </t>
  </si>
  <si>
    <t xml:space="preserve">health &amp; Beaty </t>
  </si>
  <si>
    <t>home&amp;office</t>
  </si>
  <si>
    <t>fashion</t>
  </si>
  <si>
    <t>computing</t>
  </si>
  <si>
    <t xml:space="preserve">gaming </t>
  </si>
  <si>
    <t>other</t>
  </si>
  <si>
    <t>baby_products</t>
  </si>
  <si>
    <t>product-id</t>
  </si>
  <si>
    <t>product-name</t>
  </si>
  <si>
    <t>status</t>
  </si>
  <si>
    <t>sku</t>
  </si>
  <si>
    <t>tws pods</t>
  </si>
  <si>
    <t>pending</t>
  </si>
  <si>
    <t>twspods</t>
  </si>
  <si>
    <t>120 e</t>
  </si>
  <si>
    <t>white plain t shirt</t>
  </si>
  <si>
    <t xml:space="preserve">delivered </t>
  </si>
  <si>
    <t>tshurtwhite</t>
  </si>
  <si>
    <t>130 a</t>
  </si>
  <si>
    <t>sun scream 500ml</t>
  </si>
  <si>
    <t xml:space="preserve">delivery failed </t>
  </si>
  <si>
    <t>sunscream</t>
  </si>
  <si>
    <t>100 b</t>
  </si>
  <si>
    <t>p47 headsets</t>
  </si>
  <si>
    <t xml:space="preserve">canceled </t>
  </si>
  <si>
    <t>p47headsets</t>
  </si>
  <si>
    <t>200 a</t>
  </si>
  <si>
    <t>shpping_id</t>
  </si>
  <si>
    <t>over seas</t>
  </si>
  <si>
    <t>arrived</t>
  </si>
  <si>
    <t>2222</t>
  </si>
  <si>
    <t>delivered</t>
  </si>
  <si>
    <t>order_id</t>
  </si>
  <si>
    <t>ordered_date</t>
  </si>
  <si>
    <t>time</t>
  </si>
  <si>
    <t>oders_status</t>
  </si>
  <si>
    <t>orders_name</t>
  </si>
  <si>
    <t>delivery_failed</t>
  </si>
  <si>
    <t>station_id</t>
  </si>
  <si>
    <t>packages</t>
  </si>
  <si>
    <t>locations</t>
  </si>
  <si>
    <t>returns</t>
  </si>
  <si>
    <t>spoilt</t>
  </si>
  <si>
    <t>cbd123</t>
  </si>
  <si>
    <t>west132</t>
  </si>
  <si>
    <t>cabanas223</t>
  </si>
  <si>
    <t>karen2234</t>
  </si>
  <si>
    <t>adams2244</t>
  </si>
  <si>
    <t>ware_house</t>
  </si>
  <si>
    <t>customer-name</t>
  </si>
  <si>
    <t>beth</t>
  </si>
  <si>
    <t>kamau</t>
  </si>
  <si>
    <t>manuel</t>
  </si>
  <si>
    <t>hessed</t>
  </si>
  <si>
    <t>payment_id</t>
  </si>
  <si>
    <t>payment_methods</t>
  </si>
  <si>
    <t>customers_name</t>
  </si>
  <si>
    <t>ordered_items</t>
  </si>
  <si>
    <t>number_of_items</t>
  </si>
  <si>
    <t>mps 092</t>
  </si>
  <si>
    <t>cash 010</t>
  </si>
  <si>
    <t>cash</t>
  </si>
  <si>
    <t>cash 011</t>
  </si>
  <si>
    <t>mps 095</t>
  </si>
  <si>
    <t>mps 096</t>
  </si>
  <si>
    <t>invetory_id</t>
  </si>
  <si>
    <t>product_name</t>
  </si>
  <si>
    <t>product_details</t>
  </si>
  <si>
    <t>item_name</t>
  </si>
  <si>
    <t>int 020</t>
  </si>
  <si>
    <t>int 021</t>
  </si>
  <si>
    <t>int 022</t>
  </si>
  <si>
    <t>int 023</t>
  </si>
  <si>
    <t>int 024</t>
  </si>
  <si>
    <t>int 025</t>
  </si>
  <si>
    <t>int 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</si>
</sst>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h:mm:ss am/pm"/>
  </numFmts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 vertical="bottom"/>
    </xf>
    <xf borderId="1" fillId="3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4" fontId="5" numFmtId="0" xfId="0" applyAlignment="1" applyBorder="1" applyFill="1" applyFont="1">
      <alignment horizontal="right" vertical="bottom"/>
    </xf>
    <xf borderId="1" fillId="4" fontId="5" numFmtId="0" xfId="0" applyAlignment="1" applyBorder="1" applyFont="1">
      <alignment vertical="bottom"/>
    </xf>
    <xf borderId="1" fillId="4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5" xfId="0" applyAlignment="1" applyBorder="1" applyFont="1" applyNumberFormat="1">
      <alignment readingOrder="0"/>
    </xf>
    <xf borderId="1" fillId="2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right" vertical="bottom"/>
    </xf>
    <xf borderId="1" fillId="3" fontId="5" numFmtId="164" xfId="0" applyAlignment="1" applyBorder="1" applyFont="1" applyNumberFormat="1">
      <alignment vertical="bottom"/>
    </xf>
    <xf borderId="1" fillId="3" fontId="5" numFmtId="16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5" fontId="5" numFmtId="0" xfId="0" applyAlignment="1" applyBorder="1" applyFill="1" applyFont="1">
      <alignment horizontal="right" vertical="bottom"/>
    </xf>
    <xf borderId="1" fillId="5" fontId="5" numFmtId="164" xfId="0" applyAlignment="1" applyBorder="1" applyFont="1" applyNumberFormat="1">
      <alignment vertical="bottom"/>
    </xf>
    <xf borderId="1" fillId="5" fontId="5" numFmtId="165" xfId="0" applyAlignment="1" applyBorder="1" applyFont="1" applyNumberFormat="1">
      <alignment horizontal="right" vertical="bottom"/>
    </xf>
    <xf borderId="1" fillId="5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AFE9CA"/>
          <bgColor rgb="FFAFE9CA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5">
    <tableStyle count="3" pivot="0" name="users-style">
      <tableStyleElement dxfId="1" type="headerRow"/>
      <tableStyleElement dxfId="2" type="firstRowStripe"/>
      <tableStyleElement dxfId="3" type="secondRowStripe"/>
    </tableStyle>
    <tableStyle count="3" pivot="0" name="customer-style">
      <tableStyleElement dxfId="1" type="headerRow"/>
      <tableStyleElement dxfId="2" type="firstRowStripe"/>
      <tableStyleElement dxfId="3" type="secondRowStripe"/>
    </tableStyle>
    <tableStyle count="4" pivot="0" name="staff-style">
      <tableStyleElement dxfId="1" type="headerRow"/>
      <tableStyleElement dxfId="2" type="firstRowStripe"/>
      <tableStyleElement dxfId="5" type="secondRowStripe"/>
      <tableStyleElement dxfId="2" type="totalRow"/>
    </tableStyle>
    <tableStyle count="4" pivot="0" name="branches-style">
      <tableStyleElement dxfId="1" type="headerRow"/>
      <tableStyleElement dxfId="2" type="firstRowStripe"/>
      <tableStyleElement dxfId="5" type="secondRowStripe"/>
      <tableStyleElement dxfId="2" type="totalRow"/>
    </tableStyle>
    <tableStyle count="4" pivot="0" name="departments-style">
      <tableStyleElement dxfId="1" type="headerRow"/>
      <tableStyleElement dxfId="2" type="firstRowStripe"/>
      <tableStyleElement dxfId="3" type="secondRowStripe"/>
      <tableStyleElement dxfId="2" type="totalRow"/>
    </tableStyle>
    <tableStyle count="3" pivot="0" name="vendors-style">
      <tableStyleElement dxfId="1" type="headerRow"/>
      <tableStyleElement dxfId="2" type="firstRowStripe"/>
      <tableStyleElement dxfId="3" type="secondRowStripe"/>
    </tableStyle>
    <tableStyle count="3" pivot="0" name="categories -style">
      <tableStyleElement dxfId="1" type="headerRow"/>
      <tableStyleElement dxfId="2" type="firstRowStripe"/>
      <tableStyleElement dxfId="5" type="secondRowStripe"/>
    </tableStyle>
    <tableStyle count="4" pivot="0" name="products-style">
      <tableStyleElement dxfId="1" type="headerRow"/>
      <tableStyleElement dxfId="2" type="firstRowStripe"/>
      <tableStyleElement dxfId="5" type="secondRowStripe"/>
      <tableStyleElement dxfId="2" type="totalRow"/>
    </tableStyle>
    <tableStyle count="4" pivot="0" name="shipping-style">
      <tableStyleElement dxfId="1" type="headerRow"/>
      <tableStyleElement dxfId="2" type="firstRowStripe"/>
      <tableStyleElement dxfId="5" type="secondRowStripe"/>
      <tableStyleElement dxfId="2" type="totalRow"/>
    </tableStyle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order-details-style">
      <tableStyleElement dxfId="1" type="headerRow"/>
      <tableStyleElement dxfId="2" type="firstRowStripe"/>
      <tableStyleElement dxfId="3" type="secondRowStripe"/>
    </tableStyle>
    <tableStyle count="3" pivot="0" name="pickup_station-style">
      <tableStyleElement dxfId="1" type="headerRow"/>
      <tableStyleElement dxfId="2" type="firstRowStripe"/>
      <tableStyleElement dxfId="5" type="secondRowStripe"/>
    </tableStyle>
    <tableStyle count="4" pivot="0" name="deliveries-style">
      <tableStyleElement dxfId="6" type="headerRow"/>
      <tableStyleElement dxfId="2" type="firstRowStripe"/>
      <tableStyleElement dxfId="7" type="secondRowStripe"/>
      <tableStyleElement dxfId="8" type="totalRow"/>
    </tableStyle>
    <tableStyle count="3" pivot="0" name="payments-style">
      <tableStyleElement dxfId="1" type="headerRow"/>
      <tableStyleElement dxfId="2" type="firstRowStripe"/>
      <tableStyleElement dxfId="3" type="secondRowStripe"/>
    </tableStyle>
    <tableStyle count="3" pivot="0" name="inventory-style">
      <tableStyleElement dxfId="9" type="headerRow"/>
      <tableStyleElement dxfId="2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Table_1" name="Table_1" id="1">
  <tableColumns count="7">
    <tableColumn name="user_id" id="1"/>
    <tableColumn name="user_name" id="2"/>
    <tableColumn name="users_email" id="3"/>
    <tableColumn name="users_address" id="4"/>
    <tableColumn name="users_phone_number" id="5"/>
    <tableColumn name="users_orders_items" id="6"/>
    <tableColumn name="order_details" id="7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G8" displayName="Table_2" name="Table_2" id="2">
  <tableColumns count="7">
    <tableColumn name="customers_id" id="1"/>
    <tableColumn name="customer_name" id="2"/>
    <tableColumn name="users_email" id="3"/>
    <tableColumn name="customers_address" id="4"/>
    <tableColumn name="customers_phone_number" id="5"/>
    <tableColumn name="customers_orders_items" id="6"/>
    <tableColumn name="order_details" id="7"/>
  </tableColumns>
  <tableStyleInfo name="customer-style" showColumnStripes="0" showFirstColumn="1" showLastColumn="1" showRowStripes="1"/>
</table>
</file>

<file path=xl/tables/table3.xml><?xml version="1.0" encoding="utf-8"?>
<table xmlns="http://schemas.openxmlformats.org/spreadsheetml/2006/main" totalsRowCount="1" ref="A1:F6" displayName="Table_3" name="Table_3" id="3">
  <tableColumns count="6">
    <tableColumn name="name" id="1"/>
    <tableColumn name="staff-id" id="2"/>
    <tableColumn name="department" id="3"/>
    <tableColumn name="station" id="4"/>
    <tableColumn name="email" id="5"/>
    <tableColumn name="phone-no" id="6"/>
  </tableColumns>
  <tableStyleInfo name="staff-style" showColumnStripes="0" showFirstColumn="1" showLastColumn="1" showRowStripes="1"/>
</table>
</file>

<file path=xl/tables/table4.xml><?xml version="1.0" encoding="utf-8"?>
<table xmlns="http://schemas.openxmlformats.org/spreadsheetml/2006/main" totalsRowCount="1" ref="A1:E6" displayName="Table_4" name="Table_4" id="4">
  <tableColumns count="5">
    <tableColumn name="branch-id" id="1"/>
    <tableColumn name="branch-name" id="2"/>
    <tableColumn name="location" id="3"/>
    <tableColumn name="department" id="4"/>
    <tableColumn name="department-id" id="5"/>
  </tableColumns>
  <tableStyleInfo name="branche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E6" displayName="Table_5" name="Table_5" id="5">
  <tableColumns count="5">
    <tableColumn name="station" id="1"/>
    <tableColumn name="staffs-names" id="2"/>
    <tableColumn name="email" id="3"/>
    <tableColumn name="phone-no" id="4"/>
    <tableColumn name="department-id" id="5"/>
  </tableColumns>
  <tableStyleInfo name="departments-style" showColumnStripes="0" showFirstColumn="1" showLastColumn="1" showRowStripes="1"/>
</table>
</file>

<file path=xl/tables/table6.xml><?xml version="1.0" encoding="utf-8"?>
<table xmlns="http://schemas.openxmlformats.org/spreadsheetml/2006/main" ref="A1:E7" displayName="Table_6" name="Table_6" id="6">
  <tableColumns count="5">
    <tableColumn name="vendors_id" id="1"/>
    <tableColumn name="vendors_name" id="2"/>
    <tableColumn name="vendors_shop_name" id="3"/>
    <tableColumn name="account" id="4"/>
    <tableColumn name="country " id="5"/>
  </tableColumns>
  <tableStyleInfo name="vendors-style" showColumnStripes="0" showFirstColumn="1" showLastColumn="1" showRowStripes="1"/>
</table>
</file>

<file path=xl/tables/table7.xml><?xml version="1.0" encoding="utf-8"?>
<table xmlns="http://schemas.openxmlformats.org/spreadsheetml/2006/main" ref="A1:L6" displayName="Table_7" name="Table_7" id="7">
  <tableColumns count="12">
    <tableColumn name="categories_id" id="1"/>
    <tableColumn name="phone&amp;tablets" id="2"/>
    <tableColumn name="official_store" id="3"/>
    <tableColumn name="Tv&amp;audio" id="4"/>
    <tableColumn name="appliances " id="5"/>
    <tableColumn name="health &amp; Beaty " id="6"/>
    <tableColumn name="home&amp;office" id="7"/>
    <tableColumn name="fashion" id="8"/>
    <tableColumn name="computing" id="9"/>
    <tableColumn name="gaming " id="10"/>
    <tableColumn name="other" id="11"/>
    <tableColumn name="baby_products" id="12"/>
  </tableColumns>
  <tableStyleInfo name="categories -style" showColumnStripes="0" showFirstColumn="1" showLastColumn="1" showRowStripes="1"/>
</table>
</file>

<file path=xl/tables/table8.xml><?xml version="1.0" encoding="utf-8"?>
<table xmlns="http://schemas.openxmlformats.org/spreadsheetml/2006/main" totalsRowCount="1" ref="A1:E6" displayName="Table_8" name="Table_8" id="8">
  <tableColumns count="5">
    <tableColumn name="product-id" id="1"/>
    <tableColumn name="product-name" id="2"/>
    <tableColumn name="status" id="3"/>
    <tableColumn name="sku" id="4"/>
    <tableColumn name="location" id="5"/>
  </tableColumns>
  <tableStyleInfo name="products-style" showColumnStripes="0" showFirstColumn="1" showLastColumn="1" showRowStripes="1"/>
</table>
</file>

<file path=xl/tables/table9.xml><?xml version="1.0" encoding="utf-8"?>
<table xmlns="http://schemas.openxmlformats.org/spreadsheetml/2006/main" totalsRowCount="1" ref="A1:A6" displayName="Table_9" name="Table_9" id="9">
  <tableColumns count="1">
    <tableColumn totalsRowLabel="2222" name="shpping_id" id="1"/>
  </tableColumns>
  <tableStyleInfo name="shipping-style" showColumnStripes="0" showFirstColumn="1" showLastColumn="1" showRowStripes="1"/>
</table>
</file>

<file path=xl/tables/table10.xml><?xml version="1.0" encoding="utf-8"?>
<table xmlns="http://schemas.openxmlformats.org/spreadsheetml/2006/main" ref="A1:F8" displayName="Table_10" name="Table_10" id="10">
  <tableColumns count="6">
    <tableColumn name="order_id" id="1"/>
    <tableColumn name="ordered_date" id="2"/>
    <tableColumn name="time" id="3"/>
    <tableColumn name="oders_status" id="4"/>
    <tableColumn name="orders_name" id="5"/>
    <tableColumn name="order_details" id="6"/>
  </tableColumns>
  <tableStyleInfo name="orders-style" showColumnStripes="0" showFirstColumn="1" showLastColumn="1" showRowStripes="1"/>
</table>
</file>

<file path=xl/tables/table11.xml><?xml version="1.0" encoding="utf-8"?>
<table xmlns="http://schemas.openxmlformats.org/spreadsheetml/2006/main" ref="A1:F8" displayName="Table_11" name="Table_11" id="11">
  <tableColumns count="6">
    <tableColumn name="order_id" id="1"/>
    <tableColumn name="ordered_date" id="2"/>
    <tableColumn name="time" id="3"/>
    <tableColumn name="oders_status" id="4"/>
    <tableColumn name="orders_name" id="5"/>
    <tableColumn name="order_details" id="6"/>
  </tableColumns>
  <tableStyleInfo name="order-details-style" showColumnStripes="0" showFirstColumn="1" showLastColumn="1" showRowStripes="1"/>
</table>
</file>

<file path=xl/tables/table12.xml><?xml version="1.0" encoding="utf-8"?>
<table xmlns="http://schemas.openxmlformats.org/spreadsheetml/2006/main" ref="A1:G8" displayName="Table_12" name="Table_12" id="12">
  <tableColumns count="7">
    <tableColumn name="station_id" id="1"/>
    <tableColumn name="packages" id="2"/>
    <tableColumn name="locations" id="3"/>
    <tableColumn name="status" id="4"/>
    <tableColumn name="returns" id="5"/>
    <tableColumn name="sku" id="6"/>
    <tableColumn name="spoilt" id="7"/>
  </tableColumns>
  <tableStyleInfo name="pickup_station-style" showColumnStripes="0" showFirstColumn="1" showLastColumn="1" showRowStripes="1"/>
</table>
</file>

<file path=xl/tables/table13.xml><?xml version="1.0" encoding="utf-8"?>
<table xmlns="http://schemas.openxmlformats.org/spreadsheetml/2006/main" totalsRowCount="1" ref="A1:F6" displayName="Table_13" name="Table_13" id="13">
  <tableColumns count="6">
    <tableColumn name="product-id" id="1"/>
    <tableColumn name="product-name" id="2"/>
    <tableColumn name="status" id="3"/>
    <tableColumn name="sku" id="4"/>
    <tableColumn name="location" id="5"/>
    <tableColumn name="customer-name" id="6"/>
  </tableColumns>
  <tableStyleInfo name="deliveries-style" showColumnStripes="0" showFirstColumn="1" showLastColumn="1" showRowStripes="1"/>
</table>
</file>

<file path=xl/tables/table14.xml><?xml version="1.0" encoding="utf-8"?>
<table xmlns="http://schemas.openxmlformats.org/spreadsheetml/2006/main" ref="A1:E8" displayName="Table_14" name="Table_14" id="14">
  <tableColumns count="5">
    <tableColumn name="payment_id" id="1"/>
    <tableColumn name="payment_methods" id="2"/>
    <tableColumn name="customers_name" id="3"/>
    <tableColumn name="ordered_items" id="4"/>
    <tableColumn name="number_of_items" id="5"/>
  </tableColumns>
  <tableStyleInfo name="payments-style" showColumnStripes="0" showFirstColumn="1" showLastColumn="1" showRowStripes="1"/>
</table>
</file>

<file path=xl/tables/table15.xml><?xml version="1.0" encoding="utf-8"?>
<table xmlns="http://schemas.openxmlformats.org/spreadsheetml/2006/main" ref="A1:E8" displayName="Table_15" name="Table_15" id="15">
  <tableColumns count="5">
    <tableColumn name="invetory_id" id="1"/>
    <tableColumn name="product_name" id="2"/>
    <tableColumn name="product_details" id="3"/>
    <tableColumn name="sku" id="4"/>
    <tableColumn name="item_name" id="5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22.38"/>
    <col customWidth="1" min="5" max="5" width="21.0"/>
    <col customWidth="1" min="6" max="6" width="20.25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7.56295128E8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7.20218472E8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>
        <v>7.22254775E8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7.14518339E8</v>
      </c>
      <c r="F5" s="2" t="s">
        <v>29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>
        <v>7.93751172E8</v>
      </c>
      <c r="F6" s="2" t="s">
        <v>35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>
        <v>1.15362091E8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>
        <v>7.83838334E8</v>
      </c>
      <c r="F8" s="2" t="s">
        <v>47</v>
      </c>
      <c r="G8" s="2" t="s">
        <v>48</v>
      </c>
    </row>
    <row r="9">
      <c r="E9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9.88"/>
    <col customWidth="1" min="4" max="4" width="19.75"/>
    <col customWidth="1" min="5" max="5" width="16.75"/>
    <col customWidth="1" min="6" max="6" width="23.88"/>
  </cols>
  <sheetData>
    <row r="1">
      <c r="A1" s="1" t="s">
        <v>49</v>
      </c>
      <c r="B1" s="1" t="s">
        <v>50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7.56295128E8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7.20218472E8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>
        <v>7.22254775E8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>
        <v>7.14518339E8</v>
      </c>
      <c r="F5" s="2" t="s">
        <v>29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>
        <v>7.93751172E8</v>
      </c>
      <c r="F6" s="2" t="s">
        <v>35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>
        <v>1.15362091E8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>
        <v>7.83838334E8</v>
      </c>
      <c r="F8" s="2" t="s">
        <v>47</v>
      </c>
      <c r="G8" s="2" t="s">
        <v>48</v>
      </c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</sheetData>
  <conditionalFormatting sqref="H1:H10 F9:F14 G9:G10">
    <cfRule type="notContainsBlanks" dxfId="4" priority="1">
      <formula>LEN(TRIM(H1))&gt;0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6.75"/>
  </cols>
  <sheetData>
    <row r="1">
      <c r="A1" s="5" t="s">
        <v>54</v>
      </c>
      <c r="B1" s="5" t="s">
        <v>55</v>
      </c>
      <c r="C1" s="5" t="s">
        <v>56</v>
      </c>
      <c r="D1" s="6" t="s">
        <v>57</v>
      </c>
      <c r="E1" s="5" t="s">
        <v>58</v>
      </c>
      <c r="F1" s="5" t="s">
        <v>59</v>
      </c>
    </row>
    <row r="2">
      <c r="A2" s="2" t="s">
        <v>60</v>
      </c>
      <c r="B2" s="2" t="s">
        <v>61</v>
      </c>
      <c r="C2" s="2" t="s">
        <v>62</v>
      </c>
      <c r="D2" s="7" t="s">
        <v>63</v>
      </c>
      <c r="E2" s="2" t="s">
        <v>64</v>
      </c>
      <c r="F2" s="2">
        <v>7.12345678E8</v>
      </c>
    </row>
    <row r="3">
      <c r="A3" s="2" t="s">
        <v>65</v>
      </c>
      <c r="B3" s="2" t="s">
        <v>66</v>
      </c>
      <c r="C3" s="2" t="s">
        <v>67</v>
      </c>
      <c r="D3" s="7" t="s">
        <v>68</v>
      </c>
      <c r="E3" s="2" t="s">
        <v>69</v>
      </c>
      <c r="F3" s="2">
        <v>7.12345678E8</v>
      </c>
    </row>
    <row r="4">
      <c r="A4" s="2" t="s">
        <v>70</v>
      </c>
      <c r="B4" s="2" t="s">
        <v>71</v>
      </c>
      <c r="C4" s="2" t="s">
        <v>72</v>
      </c>
      <c r="D4" s="7" t="s">
        <v>73</v>
      </c>
      <c r="E4" s="2" t="s">
        <v>74</v>
      </c>
      <c r="F4" s="2">
        <v>7.12345678E8</v>
      </c>
    </row>
    <row r="5">
      <c r="A5" s="2" t="s">
        <v>75</v>
      </c>
      <c r="B5" s="2" t="s">
        <v>76</v>
      </c>
      <c r="C5" s="2" t="s">
        <v>67</v>
      </c>
      <c r="D5" s="7" t="s">
        <v>68</v>
      </c>
      <c r="E5" s="2" t="s">
        <v>77</v>
      </c>
      <c r="F5" s="2">
        <v>7.12345678E8</v>
      </c>
    </row>
    <row r="6">
      <c r="A6" s="8"/>
      <c r="B6" s="8"/>
      <c r="C6" s="8"/>
      <c r="D6" s="9"/>
      <c r="E6" s="8"/>
      <c r="F6" s="8"/>
    </row>
    <row r="7">
      <c r="D7" s="10"/>
    </row>
    <row r="8">
      <c r="D8" s="10"/>
    </row>
    <row r="9">
      <c r="D9" s="10"/>
    </row>
    <row r="10">
      <c r="D10" s="10"/>
    </row>
    <row r="11">
      <c r="D11" s="10"/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11" t="s">
        <v>78</v>
      </c>
      <c r="B1" s="11" t="s">
        <v>79</v>
      </c>
      <c r="C1" s="11" t="s">
        <v>80</v>
      </c>
      <c r="D1" s="11" t="s">
        <v>56</v>
      </c>
      <c r="E1" s="11" t="s">
        <v>81</v>
      </c>
    </row>
    <row r="2">
      <c r="A2" s="2" t="s">
        <v>82</v>
      </c>
      <c r="B2" s="2" t="s">
        <v>83</v>
      </c>
      <c r="C2" s="2" t="s">
        <v>84</v>
      </c>
      <c r="D2" s="2" t="s">
        <v>62</v>
      </c>
      <c r="E2" s="2" t="s">
        <v>85</v>
      </c>
    </row>
    <row r="3">
      <c r="A3" s="2" t="s">
        <v>86</v>
      </c>
      <c r="B3" s="2" t="s">
        <v>87</v>
      </c>
      <c r="C3" s="2" t="s">
        <v>87</v>
      </c>
      <c r="D3" s="2" t="s">
        <v>88</v>
      </c>
      <c r="E3" s="2" t="s">
        <v>89</v>
      </c>
    </row>
    <row r="4">
      <c r="A4" s="2" t="s">
        <v>90</v>
      </c>
      <c r="B4" s="2" t="s">
        <v>91</v>
      </c>
      <c r="C4" s="2" t="s">
        <v>92</v>
      </c>
      <c r="D4" s="2" t="s">
        <v>62</v>
      </c>
      <c r="E4" s="2" t="s">
        <v>93</v>
      </c>
    </row>
    <row r="5">
      <c r="A5" s="2" t="s">
        <v>94</v>
      </c>
      <c r="B5" s="2" t="s">
        <v>95</v>
      </c>
      <c r="C5" s="2" t="s">
        <v>96</v>
      </c>
      <c r="D5" s="2" t="s">
        <v>62</v>
      </c>
      <c r="E5" s="2" t="s">
        <v>72</v>
      </c>
    </row>
    <row r="6">
      <c r="A6" s="12"/>
      <c r="B6" s="12"/>
      <c r="C6" s="12"/>
      <c r="D6" s="12"/>
      <c r="E6" s="1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13"/>
    <col customWidth="1" min="3" max="3" width="14.88"/>
    <col customWidth="1" min="4" max="4" width="15.5"/>
    <col customWidth="1" min="5" max="5" width="15.88"/>
  </cols>
  <sheetData>
    <row r="1">
      <c r="A1" s="11" t="s">
        <v>57</v>
      </c>
      <c r="B1" s="11" t="s">
        <v>97</v>
      </c>
      <c r="C1" s="11" t="s">
        <v>58</v>
      </c>
      <c r="D1" s="11" t="s">
        <v>59</v>
      </c>
      <c r="E1" s="11" t="s">
        <v>81</v>
      </c>
    </row>
    <row r="2">
      <c r="A2" s="7" t="s">
        <v>63</v>
      </c>
      <c r="B2" s="2" t="s">
        <v>60</v>
      </c>
      <c r="C2" s="2" t="s">
        <v>64</v>
      </c>
      <c r="D2" s="2">
        <v>7.12345678E8</v>
      </c>
      <c r="E2" s="2" t="s">
        <v>93</v>
      </c>
    </row>
    <row r="3">
      <c r="A3" s="7" t="s">
        <v>68</v>
      </c>
      <c r="B3" s="2" t="s">
        <v>65</v>
      </c>
      <c r="C3" s="2" t="s">
        <v>69</v>
      </c>
      <c r="D3" s="2">
        <v>7.12345678E8</v>
      </c>
      <c r="E3" s="2" t="s">
        <v>98</v>
      </c>
    </row>
    <row r="4">
      <c r="A4" s="7" t="s">
        <v>73</v>
      </c>
      <c r="B4" s="2" t="s">
        <v>70</v>
      </c>
      <c r="C4" s="2" t="s">
        <v>74</v>
      </c>
      <c r="D4" s="2">
        <v>7.12345678E8</v>
      </c>
      <c r="E4" s="2" t="s">
        <v>72</v>
      </c>
    </row>
    <row r="5">
      <c r="A5" s="7" t="s">
        <v>68</v>
      </c>
      <c r="B5" s="2" t="s">
        <v>75</v>
      </c>
      <c r="C5" s="2" t="s">
        <v>77</v>
      </c>
      <c r="D5" s="2">
        <v>7.12345678E8</v>
      </c>
      <c r="E5" s="2" t="s">
        <v>98</v>
      </c>
    </row>
    <row r="6">
      <c r="A6" s="12"/>
      <c r="B6" s="12"/>
      <c r="C6" s="12"/>
      <c r="D6" s="12"/>
      <c r="E6" s="1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1.75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>
      <c r="A2" s="2">
        <v>10101.0</v>
      </c>
      <c r="B2" s="2" t="s">
        <v>104</v>
      </c>
      <c r="C2" s="2" t="s">
        <v>105</v>
      </c>
      <c r="D2" s="2" t="s">
        <v>106</v>
      </c>
      <c r="E2" s="2" t="s">
        <v>107</v>
      </c>
    </row>
    <row r="3">
      <c r="A3" s="2">
        <v>2020202.0</v>
      </c>
      <c r="B3" s="2" t="s">
        <v>108</v>
      </c>
      <c r="C3" s="2" t="s">
        <v>109</v>
      </c>
      <c r="D3" s="2" t="s">
        <v>106</v>
      </c>
      <c r="E3" s="2" t="s">
        <v>107</v>
      </c>
    </row>
    <row r="4">
      <c r="A4" s="2">
        <v>1020339.0</v>
      </c>
      <c r="B4" s="2" t="s">
        <v>110</v>
      </c>
      <c r="C4" s="2" t="s">
        <v>111</v>
      </c>
      <c r="D4" s="2" t="s">
        <v>112</v>
      </c>
      <c r="E4" s="2" t="s">
        <v>107</v>
      </c>
    </row>
    <row r="5">
      <c r="A5" s="2">
        <v>23003.0</v>
      </c>
      <c r="B5" s="2" t="s">
        <v>113</v>
      </c>
      <c r="C5" s="2" t="s">
        <v>114</v>
      </c>
      <c r="D5" s="2" t="s">
        <v>106</v>
      </c>
      <c r="E5" s="2" t="s">
        <v>107</v>
      </c>
    </row>
    <row r="6">
      <c r="A6" s="2">
        <v>48234.0</v>
      </c>
      <c r="B6" s="2" t="s">
        <v>115</v>
      </c>
      <c r="C6" s="2" t="s">
        <v>116</v>
      </c>
      <c r="D6" s="2" t="s">
        <v>112</v>
      </c>
      <c r="E6" s="2" t="s">
        <v>117</v>
      </c>
    </row>
    <row r="7">
      <c r="A7" s="2">
        <v>302303.0</v>
      </c>
      <c r="B7" s="2" t="s">
        <v>118</v>
      </c>
      <c r="C7" s="2" t="s">
        <v>119</v>
      </c>
      <c r="D7" s="2" t="s">
        <v>112</v>
      </c>
      <c r="E7" s="2" t="s">
        <v>117</v>
      </c>
    </row>
  </sheetData>
  <dataValidations>
    <dataValidation type="list" allowBlank="1" showErrorMessage="1" sqref="E2:E7">
      <formula1>"kenya,Uganda"</formula1>
    </dataValidation>
    <dataValidation type="list" allowBlank="1" showErrorMessage="1" sqref="D2:D7">
      <formula1>"mpesa,bank"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88"/>
    <col customWidth="1" min="6" max="6" width="16.25"/>
    <col customWidth="1" min="12" max="12" width="14.38"/>
  </cols>
  <sheetData>
    <row r="1">
      <c r="A1" s="13" t="s">
        <v>120</v>
      </c>
      <c r="B1" s="13" t="s">
        <v>121</v>
      </c>
      <c r="C1" s="13" t="s">
        <v>122</v>
      </c>
      <c r="D1" s="13" t="s">
        <v>123</v>
      </c>
      <c r="E1" s="13" t="s">
        <v>124</v>
      </c>
      <c r="F1" s="13" t="s">
        <v>125</v>
      </c>
      <c r="G1" s="13" t="s">
        <v>126</v>
      </c>
      <c r="H1" s="13" t="s">
        <v>127</v>
      </c>
      <c r="I1" s="13" t="s">
        <v>128</v>
      </c>
      <c r="J1" s="13" t="s">
        <v>129</v>
      </c>
      <c r="K1" s="13" t="s">
        <v>130</v>
      </c>
      <c r="L1" s="13" t="s">
        <v>131</v>
      </c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80</v>
      </c>
    </row>
    <row r="2">
      <c r="A2" s="2">
        <v>123445.0</v>
      </c>
      <c r="B2" s="2" t="s">
        <v>136</v>
      </c>
      <c r="C2" s="2" t="s">
        <v>137</v>
      </c>
      <c r="D2" s="2" t="s">
        <v>138</v>
      </c>
      <c r="E2" s="2" t="s">
        <v>139</v>
      </c>
    </row>
    <row r="3">
      <c r="A3" s="2">
        <v>123445.0</v>
      </c>
      <c r="B3" s="2" t="s">
        <v>140</v>
      </c>
      <c r="C3" s="2" t="s">
        <v>141</v>
      </c>
      <c r="D3" s="2" t="s">
        <v>142</v>
      </c>
      <c r="E3" s="2" t="s">
        <v>143</v>
      </c>
    </row>
    <row r="4">
      <c r="A4" s="2">
        <v>123445.0</v>
      </c>
      <c r="B4" s="2" t="s">
        <v>144</v>
      </c>
      <c r="C4" s="2" t="s">
        <v>145</v>
      </c>
      <c r="D4" s="2" t="s">
        <v>146</v>
      </c>
      <c r="E4" s="2" t="s">
        <v>147</v>
      </c>
    </row>
    <row r="5">
      <c r="A5" s="2">
        <v>123445.0</v>
      </c>
      <c r="B5" s="2" t="s">
        <v>148</v>
      </c>
      <c r="C5" s="2" t="s">
        <v>149</v>
      </c>
      <c r="D5" s="2" t="s">
        <v>150</v>
      </c>
      <c r="E5" s="2" t="s">
        <v>151</v>
      </c>
    </row>
    <row r="6">
      <c r="A6" s="12"/>
      <c r="B6" s="12"/>
      <c r="C6" s="12"/>
      <c r="D6" s="12"/>
      <c r="E6" s="1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152</v>
      </c>
      <c r="B1" s="15" t="s">
        <v>132</v>
      </c>
      <c r="C1" s="15" t="s">
        <v>133</v>
      </c>
      <c r="D1" s="16" t="s">
        <v>134</v>
      </c>
      <c r="E1" s="15" t="s">
        <v>135</v>
      </c>
    </row>
    <row r="2">
      <c r="A2" s="17">
        <v>1234.0</v>
      </c>
      <c r="B2" s="18">
        <v>123445.0</v>
      </c>
      <c r="C2" s="19" t="s">
        <v>136</v>
      </c>
      <c r="D2" s="20" t="s">
        <v>153</v>
      </c>
      <c r="E2" s="19" t="s">
        <v>138</v>
      </c>
    </row>
    <row r="3">
      <c r="A3" s="17">
        <v>2344.0</v>
      </c>
      <c r="B3" s="21">
        <v>123445.0</v>
      </c>
      <c r="C3" s="22" t="s">
        <v>140</v>
      </c>
      <c r="D3" s="23" t="s">
        <v>153</v>
      </c>
      <c r="E3" s="22" t="s">
        <v>142</v>
      </c>
    </row>
    <row r="4">
      <c r="A4" s="17">
        <v>222.0</v>
      </c>
      <c r="B4" s="18">
        <v>123445.0</v>
      </c>
      <c r="C4" s="19" t="s">
        <v>144</v>
      </c>
      <c r="D4" s="20" t="s">
        <v>154</v>
      </c>
      <c r="E4" s="19" t="s">
        <v>146</v>
      </c>
    </row>
    <row r="5">
      <c r="A5" s="17">
        <v>3333.0</v>
      </c>
      <c r="B5" s="21">
        <v>123445.0</v>
      </c>
      <c r="C5" s="22" t="s">
        <v>148</v>
      </c>
      <c r="D5" s="23" t="s">
        <v>154</v>
      </c>
      <c r="E5" s="22" t="s">
        <v>150</v>
      </c>
    </row>
    <row r="6">
      <c r="A6" s="17" t="s">
        <v>155</v>
      </c>
      <c r="B6" s="19"/>
      <c r="C6" s="19"/>
      <c r="D6" s="20" t="s">
        <v>156</v>
      </c>
      <c r="E6" s="19"/>
    </row>
  </sheetData>
  <dataValidations>
    <dataValidation type="list" allowBlank="1" showErrorMessage="1" sqref="D2:D6">
      <formula1>"over seas,arrived,delivered"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23.5"/>
  </cols>
  <sheetData>
    <row r="1">
      <c r="A1" s="24" t="s">
        <v>157</v>
      </c>
      <c r="B1" s="24" t="s">
        <v>158</v>
      </c>
      <c r="C1" s="24" t="s">
        <v>159</v>
      </c>
      <c r="D1" s="24" t="s">
        <v>160</v>
      </c>
      <c r="E1" s="13" t="s">
        <v>161</v>
      </c>
      <c r="F1" s="13" t="s">
        <v>6</v>
      </c>
    </row>
    <row r="2">
      <c r="A2" s="25">
        <v>12345.0</v>
      </c>
      <c r="B2" s="26" t="str">
        <f>IFERROR(__xludf.DUMMYFUNCTION("AI(""Fill an appropriate value for this cell based on the table context"")"),"5/14/2026")</f>
        <v>5/14/2026</v>
      </c>
      <c r="C2" s="27">
        <v>0.19444444444444445</v>
      </c>
      <c r="D2" s="25" t="s">
        <v>137</v>
      </c>
      <c r="E2" s="2" t="s">
        <v>11</v>
      </c>
      <c r="F2" s="2" t="s">
        <v>12</v>
      </c>
    </row>
    <row r="3">
      <c r="A3" s="25">
        <v>565656.0</v>
      </c>
      <c r="B3" s="26" t="str">
        <f>IFERROR(__xludf.DUMMYFUNCTION("AI(""Fill an appropriate value for this cell based on the table context"")"),"5/14/2026")</f>
        <v>5/14/2026</v>
      </c>
      <c r="C3" s="27">
        <v>0.2361111111111111</v>
      </c>
      <c r="D3" s="25" t="s">
        <v>156</v>
      </c>
      <c r="E3" s="2" t="s">
        <v>17</v>
      </c>
      <c r="F3" s="2" t="s">
        <v>18</v>
      </c>
    </row>
    <row r="4">
      <c r="A4" s="25">
        <v>575757.0</v>
      </c>
      <c r="B4" s="26" t="str">
        <f>IFERROR(__xludf.DUMMYFUNCTION("AI(""Fill an appropriate value for this cell based on the table context"")"),"5/14/2026")</f>
        <v>5/14/2026</v>
      </c>
      <c r="C4" s="27">
        <v>0.2777777777777778</v>
      </c>
      <c r="D4" s="25" t="s">
        <v>156</v>
      </c>
      <c r="E4" s="2" t="s">
        <v>23</v>
      </c>
      <c r="F4" s="2" t="s">
        <v>24</v>
      </c>
    </row>
    <row r="5">
      <c r="A5" s="25">
        <v>58585.0</v>
      </c>
      <c r="B5" s="26" t="str">
        <f>IFERROR(__xludf.DUMMYFUNCTION("AI(""Fill an appropriate value for this cell based on the table context"")"),"5/14/2026")</f>
        <v>5/14/2026</v>
      </c>
      <c r="C5" s="27">
        <v>0.3194444444444444</v>
      </c>
      <c r="D5" s="25" t="s">
        <v>162</v>
      </c>
      <c r="E5" s="2" t="s">
        <v>29</v>
      </c>
      <c r="F5" s="2" t="s">
        <v>30</v>
      </c>
    </row>
    <row r="6">
      <c r="A6" s="25">
        <v>36353.0</v>
      </c>
      <c r="B6" s="26" t="str">
        <f>IFERROR(__xludf.DUMMYFUNCTION("AI(""Fill an appropriate value for this cell based on the table context"")"),"5/14/2026")</f>
        <v>5/14/2026</v>
      </c>
      <c r="C6" s="27">
        <v>0.3611111111111111</v>
      </c>
      <c r="D6" s="25" t="s">
        <v>149</v>
      </c>
      <c r="E6" s="2" t="s">
        <v>35</v>
      </c>
      <c r="F6" s="2" t="s">
        <v>36</v>
      </c>
    </row>
    <row r="7">
      <c r="A7" s="25">
        <v>60690.0</v>
      </c>
      <c r="B7" s="26" t="str">
        <f>IFERROR(__xludf.DUMMYFUNCTION("AI(""Fill an appropriate value for this cell based on the table context"")"),"5/14/2026")</f>
        <v>5/14/2026</v>
      </c>
      <c r="C7" s="27">
        <v>0.4027777777777778</v>
      </c>
      <c r="D7" s="25" t="s">
        <v>162</v>
      </c>
      <c r="E7" s="2" t="s">
        <v>41</v>
      </c>
      <c r="F7" s="2" t="s">
        <v>42</v>
      </c>
    </row>
    <row r="8">
      <c r="A8" s="25">
        <v>476763.0</v>
      </c>
      <c r="B8" s="26" t="str">
        <f>IFERROR(__xludf.DUMMYFUNCTION("AI(""Fill an appropriate value for this cell based on the table context"")"),"5/14/2026")</f>
        <v>5/14/2026</v>
      </c>
      <c r="C8" s="27">
        <v>0.4444444444444444</v>
      </c>
      <c r="D8" s="25" t="s">
        <v>137</v>
      </c>
      <c r="E8" s="2" t="s">
        <v>47</v>
      </c>
      <c r="F8" s="2" t="s">
        <v>48</v>
      </c>
    </row>
  </sheetData>
  <dataValidations>
    <dataValidation type="list" allowBlank="1" showErrorMessage="1" sqref="D2:D8">
      <formula1>"pending,delivered,canceled ,delivery_failed"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157</v>
      </c>
      <c r="B1" s="28" t="s">
        <v>158</v>
      </c>
      <c r="C1" s="28" t="s">
        <v>159</v>
      </c>
      <c r="D1" s="28" t="s">
        <v>160</v>
      </c>
      <c r="E1" s="28" t="s">
        <v>161</v>
      </c>
      <c r="F1" s="28" t="s">
        <v>6</v>
      </c>
    </row>
    <row r="2">
      <c r="A2" s="29">
        <v>12345.0</v>
      </c>
      <c r="B2" s="30" t="str">
        <f>IFERROR(__xludf.DUMMYFUNCTION("AI(""Fill an appropriate value for this cell based on the table context"")"),"May 14, 2026")</f>
        <v>May 14, 2026</v>
      </c>
      <c r="C2" s="31">
        <v>0.19444444444444445</v>
      </c>
      <c r="D2" s="32" t="s">
        <v>137</v>
      </c>
      <c r="E2" s="33" t="s">
        <v>11</v>
      </c>
      <c r="F2" s="33" t="s">
        <v>12</v>
      </c>
    </row>
    <row r="3">
      <c r="A3" s="34">
        <v>565656.0</v>
      </c>
      <c r="B3" s="35" t="str">
        <f>IFERROR(__xludf.DUMMYFUNCTION("AI(""Fill an appropriate value for this cell based on the table context"")"),"May 14, 2026")</f>
        <v>May 14, 2026</v>
      </c>
      <c r="C3" s="36">
        <v>0.2361111111111111</v>
      </c>
      <c r="D3" s="32" t="s">
        <v>156</v>
      </c>
      <c r="E3" s="37" t="s">
        <v>17</v>
      </c>
      <c r="F3" s="37" t="s">
        <v>18</v>
      </c>
    </row>
    <row r="4">
      <c r="A4" s="29">
        <v>575757.0</v>
      </c>
      <c r="B4" s="30" t="str">
        <f>IFERROR(__xludf.DUMMYFUNCTION("AI(""Fill an appropriate value for this cell based on the table context"")"),"May 14, 2026")</f>
        <v>May 14, 2026</v>
      </c>
      <c r="C4" s="31">
        <v>0.2777777777777778</v>
      </c>
      <c r="D4" s="32" t="s">
        <v>156</v>
      </c>
      <c r="E4" s="33" t="s">
        <v>23</v>
      </c>
      <c r="F4" s="33" t="s">
        <v>24</v>
      </c>
    </row>
    <row r="5">
      <c r="A5" s="34">
        <v>58585.0</v>
      </c>
      <c r="B5" s="35" t="str">
        <f>IFERROR(__xludf.DUMMYFUNCTION("AI(""Fill an appropriate value for this cell based on the table context"")"),"May 14, 2026")</f>
        <v>May 14, 2026</v>
      </c>
      <c r="C5" s="36">
        <v>0.3194444444444444</v>
      </c>
      <c r="D5" s="32" t="s">
        <v>162</v>
      </c>
      <c r="E5" s="37" t="s">
        <v>29</v>
      </c>
      <c r="F5" s="37" t="s">
        <v>30</v>
      </c>
    </row>
    <row r="6">
      <c r="A6" s="29">
        <v>36353.0</v>
      </c>
      <c r="B6" s="30" t="str">
        <f>IFERROR(__xludf.DUMMYFUNCTION("AI(""Fill an appropriate value for this cell based on the table context"")"),"May 14, 2026")</f>
        <v>May 14, 2026</v>
      </c>
      <c r="C6" s="31">
        <v>0.3611111111111111</v>
      </c>
      <c r="D6" s="32" t="s">
        <v>149</v>
      </c>
      <c r="E6" s="33" t="s">
        <v>35</v>
      </c>
      <c r="F6" s="33" t="s">
        <v>36</v>
      </c>
    </row>
    <row r="7">
      <c r="A7" s="34">
        <v>60690.0</v>
      </c>
      <c r="B7" s="35" t="str">
        <f>IFERROR(__xludf.DUMMYFUNCTION("AI(""Fill an appropriate value for this cell based on the table context"")"),"May 14, 2026")</f>
        <v>May 14, 2026</v>
      </c>
      <c r="C7" s="36">
        <v>0.4027777777777778</v>
      </c>
      <c r="D7" s="32" t="s">
        <v>162</v>
      </c>
      <c r="E7" s="37" t="s">
        <v>41</v>
      </c>
      <c r="F7" s="37" t="s">
        <v>42</v>
      </c>
    </row>
    <row r="8">
      <c r="A8" s="29">
        <v>476763.0</v>
      </c>
      <c r="B8" s="30" t="str">
        <f>IFERROR(__xludf.DUMMYFUNCTION("AI(""Fill an appropriate value for this cell based on the table context"")"),"May 14, 2026")</f>
        <v>May 14, 2026</v>
      </c>
      <c r="C8" s="31">
        <v>0.4444444444444444</v>
      </c>
      <c r="D8" s="32" t="s">
        <v>137</v>
      </c>
      <c r="E8" s="33" t="s">
        <v>47</v>
      </c>
      <c r="F8" s="33" t="s">
        <v>48</v>
      </c>
    </row>
  </sheetData>
  <dataValidations>
    <dataValidation type="list" allowBlank="1" showErrorMessage="1" sqref="D2:D8">
      <formula1>"pending,delivered,canceled ,delivery_failed"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13" t="s">
        <v>163</v>
      </c>
      <c r="B1" s="13" t="s">
        <v>164</v>
      </c>
      <c r="C1" s="13" t="s">
        <v>165</v>
      </c>
      <c r="D1" s="13" t="s">
        <v>134</v>
      </c>
      <c r="E1" s="13" t="s">
        <v>166</v>
      </c>
      <c r="F1" s="13" t="s">
        <v>135</v>
      </c>
      <c r="G1" s="13" t="s">
        <v>167</v>
      </c>
    </row>
    <row r="2">
      <c r="A2" s="2" t="s">
        <v>168</v>
      </c>
      <c r="B2" s="33" t="s">
        <v>11</v>
      </c>
      <c r="C2" s="12"/>
      <c r="D2" s="32" t="s">
        <v>137</v>
      </c>
      <c r="E2" s="32" t="s">
        <v>137</v>
      </c>
      <c r="F2" s="33" t="s">
        <v>12</v>
      </c>
      <c r="G2" s="32" t="s">
        <v>137</v>
      </c>
    </row>
    <row r="3">
      <c r="A3" s="2" t="s">
        <v>169</v>
      </c>
      <c r="B3" s="37" t="s">
        <v>17</v>
      </c>
      <c r="C3" s="12"/>
      <c r="D3" s="32" t="s">
        <v>156</v>
      </c>
      <c r="E3" s="32" t="s">
        <v>156</v>
      </c>
      <c r="F3" s="37" t="s">
        <v>18</v>
      </c>
      <c r="G3" s="32" t="s">
        <v>156</v>
      </c>
    </row>
    <row r="4">
      <c r="A4" s="2" t="s">
        <v>170</v>
      </c>
      <c r="B4" s="33" t="s">
        <v>23</v>
      </c>
      <c r="C4" s="12"/>
      <c r="D4" s="32" t="s">
        <v>156</v>
      </c>
      <c r="E4" s="32" t="s">
        <v>156</v>
      </c>
      <c r="F4" s="33" t="s">
        <v>24</v>
      </c>
      <c r="G4" s="32" t="s">
        <v>156</v>
      </c>
    </row>
    <row r="5">
      <c r="A5" s="2" t="s">
        <v>171</v>
      </c>
      <c r="B5" s="37" t="s">
        <v>29</v>
      </c>
      <c r="C5" s="12"/>
      <c r="D5" s="32" t="s">
        <v>162</v>
      </c>
      <c r="E5" s="32" t="s">
        <v>162</v>
      </c>
      <c r="F5" s="37" t="s">
        <v>30</v>
      </c>
      <c r="G5" s="32" t="s">
        <v>162</v>
      </c>
    </row>
    <row r="6">
      <c r="A6" s="2" t="s">
        <v>172</v>
      </c>
      <c r="B6" s="33" t="s">
        <v>35</v>
      </c>
      <c r="C6" s="12"/>
      <c r="D6" s="32" t="s">
        <v>149</v>
      </c>
      <c r="E6" s="38" t="s">
        <v>149</v>
      </c>
      <c r="F6" s="33" t="s">
        <v>36</v>
      </c>
      <c r="G6" s="32" t="s">
        <v>149</v>
      </c>
    </row>
    <row r="7">
      <c r="A7" s="39"/>
      <c r="B7" s="37" t="s">
        <v>41</v>
      </c>
      <c r="C7" s="12"/>
      <c r="D7" s="32" t="s">
        <v>162</v>
      </c>
      <c r="E7" s="32" t="s">
        <v>162</v>
      </c>
      <c r="F7" s="37" t="s">
        <v>42</v>
      </c>
      <c r="G7" s="32" t="s">
        <v>162</v>
      </c>
    </row>
    <row r="8">
      <c r="A8" s="2" t="s">
        <v>173</v>
      </c>
      <c r="B8" s="33" t="s">
        <v>47</v>
      </c>
      <c r="C8" s="12"/>
      <c r="D8" s="32" t="s">
        <v>137</v>
      </c>
      <c r="E8" s="32" t="s">
        <v>137</v>
      </c>
      <c r="F8" s="33" t="s">
        <v>48</v>
      </c>
      <c r="G8" s="32" t="s">
        <v>137</v>
      </c>
    </row>
  </sheetData>
  <dataValidations>
    <dataValidation type="list" allowBlank="1" showErrorMessage="1" sqref="D2:E8 G2:G8">
      <formula1>"pending,delivered,canceled ,delivery_failed"</formula1>
    </dataValidation>
    <dataValidation type="list" allowBlank="1" showErrorMessage="1" sqref="C2:C8">
      <formula1>"1st mile,arrived,pending"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11" t="s">
        <v>132</v>
      </c>
      <c r="B1" s="11" t="s">
        <v>133</v>
      </c>
      <c r="C1" s="11" t="s">
        <v>134</v>
      </c>
      <c r="D1" s="11" t="s">
        <v>135</v>
      </c>
      <c r="E1" s="11" t="s">
        <v>80</v>
      </c>
      <c r="F1" s="11" t="s">
        <v>174</v>
      </c>
    </row>
    <row r="2">
      <c r="A2" s="2">
        <v>123445.0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175</v>
      </c>
    </row>
    <row r="3">
      <c r="A3" s="2">
        <v>123445.0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176</v>
      </c>
    </row>
    <row r="4">
      <c r="A4" s="2">
        <v>123445.0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177</v>
      </c>
    </row>
    <row r="5">
      <c r="A5" s="2">
        <v>123445.0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178</v>
      </c>
    </row>
    <row r="6">
      <c r="A6" s="12"/>
      <c r="B6" s="12"/>
      <c r="C6" s="12"/>
      <c r="D6" s="12"/>
      <c r="E6" s="12"/>
      <c r="F6" s="1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6.75"/>
    <col customWidth="1" min="4" max="4" width="19.88"/>
    <col customWidth="1" min="5" max="5" width="17.75"/>
  </cols>
  <sheetData>
    <row r="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s="2" t="s">
        <v>184</v>
      </c>
      <c r="B2" s="2" t="s">
        <v>106</v>
      </c>
      <c r="C2" s="33" t="s">
        <v>8</v>
      </c>
      <c r="D2" s="33" t="s">
        <v>11</v>
      </c>
      <c r="E2" s="2">
        <v>2.0</v>
      </c>
    </row>
    <row r="3">
      <c r="A3" s="2" t="s">
        <v>185</v>
      </c>
      <c r="B3" s="2" t="s">
        <v>186</v>
      </c>
      <c r="C3" s="37" t="s">
        <v>14</v>
      </c>
      <c r="D3" s="37" t="s">
        <v>17</v>
      </c>
      <c r="E3" s="2">
        <v>1.0</v>
      </c>
    </row>
    <row r="4">
      <c r="A4" s="2" t="s">
        <v>187</v>
      </c>
      <c r="B4" s="2" t="s">
        <v>186</v>
      </c>
      <c r="C4" s="33" t="s">
        <v>20</v>
      </c>
      <c r="D4" s="33" t="s">
        <v>23</v>
      </c>
      <c r="E4" s="2">
        <v>1.0</v>
      </c>
    </row>
    <row r="5">
      <c r="A5" s="2" t="s">
        <v>188</v>
      </c>
      <c r="B5" s="2" t="s">
        <v>106</v>
      </c>
      <c r="C5" s="37" t="s">
        <v>26</v>
      </c>
      <c r="D5" s="37" t="s">
        <v>29</v>
      </c>
      <c r="E5" s="2">
        <v>1.0</v>
      </c>
    </row>
    <row r="6">
      <c r="A6" s="2" t="s">
        <v>189</v>
      </c>
      <c r="B6" s="2" t="s">
        <v>106</v>
      </c>
      <c r="C6" s="33" t="s">
        <v>32</v>
      </c>
      <c r="D6" s="33" t="s">
        <v>35</v>
      </c>
      <c r="E6" s="2">
        <v>1.0</v>
      </c>
    </row>
    <row r="7">
      <c r="A7" s="2" t="s">
        <v>187</v>
      </c>
      <c r="B7" s="2" t="s">
        <v>186</v>
      </c>
      <c r="C7" s="37" t="s">
        <v>38</v>
      </c>
      <c r="D7" s="37" t="s">
        <v>41</v>
      </c>
      <c r="E7" s="2">
        <v>1.0</v>
      </c>
    </row>
    <row r="8">
      <c r="A8" s="2" t="s">
        <v>187</v>
      </c>
      <c r="B8" s="2" t="s">
        <v>186</v>
      </c>
      <c r="C8" s="33" t="s">
        <v>44</v>
      </c>
      <c r="D8" s="33" t="s">
        <v>47</v>
      </c>
      <c r="E8" s="2">
        <v>1.0</v>
      </c>
    </row>
  </sheetData>
  <dataValidations>
    <dataValidation type="list" allowBlank="1" showErrorMessage="1" sqref="B2:B8">
      <formula1>"mpesa,cash"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88"/>
  </cols>
  <sheetData>
    <row r="1">
      <c r="A1" s="13" t="s">
        <v>190</v>
      </c>
      <c r="B1" s="13" t="s">
        <v>191</v>
      </c>
      <c r="C1" s="13" t="s">
        <v>192</v>
      </c>
      <c r="D1" s="13" t="s">
        <v>135</v>
      </c>
      <c r="E1" s="13" t="s">
        <v>193</v>
      </c>
    </row>
    <row r="2">
      <c r="A2" s="2" t="s">
        <v>194</v>
      </c>
      <c r="B2" s="12"/>
      <c r="C2" s="12"/>
      <c r="D2" s="12"/>
      <c r="E2" s="12"/>
    </row>
    <row r="3">
      <c r="A3" s="2" t="s">
        <v>195</v>
      </c>
      <c r="B3" s="12"/>
      <c r="C3" s="12"/>
      <c r="D3" s="12"/>
      <c r="E3" s="12"/>
    </row>
    <row r="4">
      <c r="A4" s="2" t="s">
        <v>196</v>
      </c>
      <c r="B4" s="12"/>
      <c r="C4" s="12"/>
      <c r="D4" s="12"/>
      <c r="E4" s="12"/>
    </row>
    <row r="5">
      <c r="A5" s="2" t="s">
        <v>197</v>
      </c>
      <c r="B5" s="12"/>
      <c r="C5" s="12"/>
      <c r="D5" s="12"/>
      <c r="E5" s="12"/>
    </row>
    <row r="6">
      <c r="A6" s="2" t="s">
        <v>198</v>
      </c>
      <c r="B6" s="12"/>
      <c r="C6" s="12"/>
      <c r="D6" s="12"/>
      <c r="E6" s="12"/>
    </row>
    <row r="7">
      <c r="A7" s="2" t="s">
        <v>199</v>
      </c>
      <c r="B7" s="12"/>
      <c r="C7" s="12"/>
      <c r="D7" s="12"/>
      <c r="E7" s="12"/>
    </row>
    <row r="8">
      <c r="A8" s="2" t="s">
        <v>200</v>
      </c>
      <c r="B8" s="12"/>
      <c r="C8" s="12"/>
      <c r="D8" s="12"/>
      <c r="E8" s="12"/>
    </row>
  </sheetData>
  <drawing r:id="rId1"/>
  <tableParts count="1">
    <tablePart r:id="rId3"/>
  </tableParts>
</worksheet>
</file>